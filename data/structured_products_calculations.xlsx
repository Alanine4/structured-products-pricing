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WORK\课\1ST TERM\Fundamentals of Financial Mathematics\Home_Assignment_FFM\"/>
    </mc:Choice>
  </mc:AlternateContent>
  <xr:revisionPtr revIDLastSave="0" documentId="13_ncr:1_{81A5B786-56AD-4FE1-A4B3-402BCE3D36E6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Q1" sheetId="1" r:id="rId1"/>
    <sheet name="Q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B15" i="2"/>
  <c r="C22" i="1"/>
  <c r="C23" i="1"/>
  <c r="C24" i="1"/>
  <c r="C27" i="2"/>
  <c r="C26" i="2"/>
  <c r="C25" i="2"/>
  <c r="C24" i="2"/>
  <c r="C23" i="2"/>
  <c r="B27" i="2"/>
  <c r="B26" i="2"/>
  <c r="B25" i="2"/>
  <c r="B24" i="2"/>
  <c r="B23" i="2"/>
  <c r="B8" i="2"/>
  <c r="F22" i="1"/>
  <c r="E23" i="1"/>
  <c r="E24" i="1"/>
  <c r="E22" i="1"/>
  <c r="D22" i="1"/>
  <c r="D23" i="1"/>
  <c r="D24" i="1"/>
  <c r="H23" i="2"/>
  <c r="H24" i="2"/>
  <c r="H25" i="2"/>
  <c r="H26" i="2"/>
  <c r="H22" i="2"/>
  <c r="F22" i="2"/>
  <c r="F23" i="2"/>
  <c r="F24" i="2"/>
  <c r="F25" i="2"/>
  <c r="F26" i="2"/>
  <c r="H15" i="2"/>
  <c r="J16" i="2"/>
  <c r="J17" i="2"/>
  <c r="J18" i="2"/>
  <c r="J19" i="2"/>
  <c r="J15" i="2"/>
  <c r="H19" i="2"/>
  <c r="H16" i="2"/>
  <c r="H17" i="2"/>
  <c r="H18" i="2"/>
  <c r="C16" i="2"/>
  <c r="C17" i="2"/>
  <c r="C18" i="2"/>
  <c r="C19" i="2"/>
  <c r="F18" i="2"/>
  <c r="F19" i="2"/>
  <c r="B11" i="2"/>
  <c r="F16" i="1"/>
  <c r="B8" i="1"/>
  <c r="B9" i="1" s="1"/>
  <c r="B11" i="1" s="1"/>
  <c r="B14" i="1"/>
  <c r="G16" i="1" s="1"/>
  <c r="F17" i="1"/>
  <c r="F18" i="1"/>
  <c r="E17" i="1"/>
  <c r="E18" i="1"/>
  <c r="E16" i="1"/>
  <c r="B10" i="1"/>
  <c r="I15" i="2" l="1"/>
  <c r="F24" i="1"/>
  <c r="F23" i="1"/>
  <c r="G22" i="1"/>
  <c r="G24" i="1"/>
  <c r="G23" i="1"/>
  <c r="D16" i="2"/>
  <c r="I22" i="2"/>
  <c r="K15" i="2"/>
  <c r="G22" i="2"/>
  <c r="D19" i="2"/>
  <c r="D18" i="2"/>
  <c r="D17" i="2"/>
  <c r="F15" i="2"/>
  <c r="G17" i="1"/>
  <c r="G18" i="1"/>
  <c r="H16" i="1"/>
  <c r="H24" i="1" l="1"/>
  <c r="H23" i="1"/>
  <c r="C15" i="2"/>
  <c r="D15" i="2" s="1"/>
  <c r="F17" i="2"/>
  <c r="F16" i="2"/>
  <c r="H17" i="1"/>
  <c r="H18" i="1"/>
  <c r="G15" i="2" l="1"/>
</calcChain>
</file>

<file path=xl/sharedStrings.xml><?xml version="1.0" encoding="utf-8"?>
<sst xmlns="http://schemas.openxmlformats.org/spreadsheetml/2006/main" count="80" uniqueCount="53">
  <si>
    <t>K1</t>
    <phoneticPr fontId="2" type="noConversion"/>
  </si>
  <si>
    <t>Initial Date</t>
  </si>
  <si>
    <t>Maturity Date</t>
  </si>
  <si>
    <t>S0</t>
    <phoneticPr fontId="2" type="noConversion"/>
  </si>
  <si>
    <t>N</t>
    <phoneticPr fontId="2" type="noConversion"/>
  </si>
  <si>
    <t>r(annual)</t>
    <phoneticPr fontId="2" type="noConversion"/>
  </si>
  <si>
    <t>Day count fraction(T)</t>
    <phoneticPr fontId="2" type="noConversion"/>
  </si>
  <si>
    <t>Discount Factor</t>
    <phoneticPr fontId="2" type="noConversion"/>
  </si>
  <si>
    <t>Present Value of Protection</t>
  </si>
  <si>
    <t>Principal Protection Amount (90% of N)</t>
  </si>
  <si>
    <t>Put(K1)</t>
    <phoneticPr fontId="2" type="noConversion"/>
  </si>
  <si>
    <t>K2</t>
    <phoneticPr fontId="2" type="noConversion"/>
  </si>
  <si>
    <t>Call(K2)</t>
    <phoneticPr fontId="2" type="noConversion"/>
  </si>
  <si>
    <t>Sum(P+C)</t>
    <phoneticPr fontId="2" type="noConversion"/>
  </si>
  <si>
    <t>N/S0</t>
    <phoneticPr fontId="2" type="noConversion"/>
  </si>
  <si>
    <t>Total Option Cost</t>
    <phoneticPr fontId="2" type="noConversion"/>
  </si>
  <si>
    <t>ST</t>
    <phoneticPr fontId="2" type="noConversion"/>
  </si>
  <si>
    <t>Expected Payoff</t>
    <phoneticPr fontId="2" type="noConversion"/>
  </si>
  <si>
    <t>Payoff of Investors</t>
    <phoneticPr fontId="2" type="noConversion"/>
  </si>
  <si>
    <t>Profit Margin of banks</t>
    <phoneticPr fontId="2" type="noConversion"/>
  </si>
  <si>
    <t>Probability</t>
    <phoneticPr fontId="2" type="noConversion"/>
  </si>
  <si>
    <t>Didvend</t>
    <phoneticPr fontId="2" type="noConversion"/>
  </si>
  <si>
    <t>Sigma</t>
    <phoneticPr fontId="2" type="noConversion"/>
  </si>
  <si>
    <t>S0</t>
  </si>
  <si>
    <t>N</t>
  </si>
  <si>
    <t>Sigma</t>
  </si>
  <si>
    <t>Didvend</t>
  </si>
  <si>
    <t>Day count fraction(T)</t>
  </si>
  <si>
    <t>Discount Factor</t>
  </si>
  <si>
    <t>Outcome of m</t>
    <phoneticPr fontId="2" type="noConversion"/>
  </si>
  <si>
    <t>m1</t>
    <phoneticPr fontId="2" type="noConversion"/>
  </si>
  <si>
    <t>m2</t>
    <phoneticPr fontId="2" type="noConversion"/>
  </si>
  <si>
    <t>m3</t>
    <phoneticPr fontId="2" type="noConversion"/>
  </si>
  <si>
    <t>m4</t>
    <phoneticPr fontId="2" type="noConversion"/>
  </si>
  <si>
    <t>m5</t>
    <phoneticPr fontId="2" type="noConversion"/>
  </si>
  <si>
    <t>InitiaH Date</t>
  </si>
  <si>
    <t>ProbabiHity</t>
  </si>
  <si>
    <t>r(annuaH)</t>
  </si>
  <si>
    <t>PrincipaH Protection Amount (100% of N)</t>
  </si>
  <si>
    <t>Present VaHue of Bond</t>
  </si>
  <si>
    <t>Cost of buying digitaH caHH</t>
  </si>
  <si>
    <t>Value of m</t>
    <phoneticPr fontId="2" type="noConversion"/>
  </si>
  <si>
    <t>ST</t>
    <phoneticPr fontId="2" type="noConversion"/>
  </si>
  <si>
    <t>K1=280
K2=305</t>
    <phoneticPr fontId="2" type="noConversion"/>
  </si>
  <si>
    <t>K1=290
K2=310</t>
    <phoneticPr fontId="2" type="noConversion"/>
  </si>
  <si>
    <t>K1=295
K2=315</t>
    <phoneticPr fontId="2" type="noConversion"/>
  </si>
  <si>
    <t>Expected Pyaoff</t>
    <phoneticPr fontId="2" type="noConversion"/>
  </si>
  <si>
    <t>Expected Payoff</t>
    <phoneticPr fontId="2" type="noConversion"/>
  </si>
  <si>
    <t>Profit Margin of Bank</t>
    <phoneticPr fontId="2" type="noConversion"/>
  </si>
  <si>
    <t>Profit Margin of bank</t>
    <phoneticPr fontId="2" type="noConversion"/>
  </si>
  <si>
    <t>Results</t>
    <phoneticPr fontId="2" type="noConversion"/>
  </si>
  <si>
    <t>11-12-24</t>
    <phoneticPr fontId="2" type="noConversion"/>
  </si>
  <si>
    <t>Price of digital call(D)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</si>
</sst>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800]dddd\,\ mmmm\ dd\,\ yyyy"/>
    <numFmt numFmtId="177" formatCode="0.0000_ "/>
    <numFmt numFmtId="178" formatCode="0.00_ "/>
  </numFmts>
  <fonts count="7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theme="1"/>
      <name val="Microsoft YaHei Light"/>
      <family val="2"/>
      <charset val="134"/>
    </font>
    <font>
      <b/>
      <sz val="11"/>
      <color theme="0"/>
      <name val="Microsoft YaHei Light"/>
      <family val="2"/>
      <charset val="134"/>
    </font>
    <font>
      <b/>
      <sz val="11"/>
      <color theme="1"/>
      <name val="Microsoft YaHei Light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rgb="FFA5A5A5"/>
      </patternFill>
    </fill>
  </fills>
  <borders count="15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6"/>
      </right>
      <top style="thin">
        <color theme="6"/>
      </top>
      <bottom/>
      <diagonal/>
    </border>
    <border>
      <left style="thin">
        <color theme="0"/>
      </left>
      <right/>
      <top style="thin">
        <color theme="6"/>
      </top>
      <bottom/>
      <diagonal/>
    </border>
    <border>
      <left style="thin">
        <color theme="0"/>
      </left>
      <right style="thin">
        <color theme="6"/>
      </right>
      <top style="thick">
        <color theme="0"/>
      </top>
      <bottom/>
      <diagonal/>
    </border>
    <border>
      <left style="thin">
        <color theme="0"/>
      </left>
      <right style="thin">
        <color theme="6"/>
      </right>
      <top/>
      <bottom/>
      <diagonal/>
    </border>
    <border>
      <left style="thin">
        <color theme="0"/>
      </left>
      <right style="thin">
        <color theme="6"/>
      </right>
      <top/>
      <bottom style="thin">
        <color theme="6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ck">
        <color theme="0"/>
      </top>
      <bottom style="thin">
        <color theme="6" tint="0.39997558519241921"/>
      </bottom>
      <diagonal/>
    </border>
    <border>
      <left/>
      <right/>
      <top style="thin">
        <color theme="6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3" fillId="6" borderId="11" applyNumberFormat="0" applyAlignment="0" applyProtection="0">
      <alignment vertical="center"/>
    </xf>
  </cellStyleXfs>
  <cellXfs count="43">
    <xf numFmtId="0" fontId="0" fillId="0" borderId="0" xfId="0"/>
    <xf numFmtId="0" fontId="4" fillId="2" borderId="0" xfId="1" applyFont="1" applyAlignment="1">
      <alignment horizontal="center" vertical="center" wrapText="1"/>
    </xf>
    <xf numFmtId="14" fontId="4" fillId="2" borderId="0" xfId="1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8" fontId="5" fillId="3" borderId="0" xfId="0" applyNumberFormat="1" applyFont="1" applyFill="1" applyAlignment="1">
      <alignment horizontal="center" vertical="center" wrapText="1"/>
    </xf>
    <xf numFmtId="178" fontId="5" fillId="3" borderId="2" xfId="0" applyNumberFormat="1" applyFont="1" applyFill="1" applyBorder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178" fontId="4" fillId="5" borderId="3" xfId="0" applyNumberFormat="1" applyFont="1" applyFill="1" applyBorder="1" applyAlignment="1">
      <alignment horizontal="center" vertical="center" wrapText="1"/>
    </xf>
    <xf numFmtId="178" fontId="4" fillId="5" borderId="4" xfId="0" applyNumberFormat="1" applyFont="1" applyFill="1" applyBorder="1" applyAlignment="1">
      <alignment horizontal="center" vertical="center" wrapText="1"/>
    </xf>
    <xf numFmtId="178" fontId="4" fillId="4" borderId="5" xfId="0" applyNumberFormat="1" applyFont="1" applyFill="1" applyBorder="1" applyAlignment="1">
      <alignment horizontal="center" vertical="center" wrapText="1"/>
    </xf>
    <xf numFmtId="178" fontId="4" fillId="4" borderId="1" xfId="0" applyNumberFormat="1" applyFont="1" applyFill="1" applyBorder="1" applyAlignment="1">
      <alignment horizontal="center" vertical="center" wrapText="1"/>
    </xf>
    <xf numFmtId="178" fontId="4" fillId="2" borderId="0" xfId="1" applyNumberFormat="1" applyFont="1" applyAlignment="1">
      <alignment horizontal="center" vertical="center" wrapText="1"/>
    </xf>
    <xf numFmtId="178" fontId="4" fillId="5" borderId="5" xfId="0" applyNumberFormat="1" applyFont="1" applyFill="1" applyBorder="1" applyAlignment="1">
      <alignment horizontal="center" vertical="center" wrapText="1"/>
    </xf>
    <xf numFmtId="178" fontId="4" fillId="5" borderId="1" xfId="0" applyNumberFormat="1" applyFont="1" applyFill="1" applyBorder="1" applyAlignment="1">
      <alignment horizontal="center" vertical="center" wrapText="1"/>
    </xf>
    <xf numFmtId="177" fontId="4" fillId="2" borderId="0" xfId="1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178" fontId="6" fillId="5" borderId="3" xfId="0" applyNumberFormat="1" applyFont="1" applyFill="1" applyBorder="1" applyAlignment="1">
      <alignment horizontal="center" vertical="center" wrapText="1"/>
    </xf>
    <xf numFmtId="178" fontId="6" fillId="5" borderId="4" xfId="0" applyNumberFormat="1" applyFont="1" applyFill="1" applyBorder="1" applyAlignment="1">
      <alignment horizontal="center" vertical="center" wrapText="1"/>
    </xf>
    <xf numFmtId="178" fontId="6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178" fontId="6" fillId="5" borderId="13" xfId="0" applyNumberFormat="1" applyFont="1" applyFill="1" applyBorder="1" applyAlignment="1">
      <alignment horizontal="center" vertical="center" wrapText="1"/>
    </xf>
    <xf numFmtId="178" fontId="4" fillId="5" borderId="13" xfId="0" applyNumberFormat="1" applyFont="1" applyFill="1" applyBorder="1" applyAlignment="1">
      <alignment horizontal="center" vertical="center" wrapText="1"/>
    </xf>
    <xf numFmtId="178" fontId="6" fillId="4" borderId="12" xfId="0" applyNumberFormat="1" applyFont="1" applyFill="1" applyBorder="1" applyAlignment="1">
      <alignment horizontal="center" vertical="center"/>
    </xf>
    <xf numFmtId="178" fontId="4" fillId="0" borderId="12" xfId="0" applyNumberFormat="1" applyFont="1" applyBorder="1" applyAlignment="1">
      <alignment horizontal="center" vertical="center"/>
    </xf>
    <xf numFmtId="178" fontId="4" fillId="4" borderId="12" xfId="0" applyNumberFormat="1" applyFont="1" applyFill="1" applyBorder="1" applyAlignment="1">
      <alignment horizontal="center" vertical="center"/>
    </xf>
    <xf numFmtId="178" fontId="3" fillId="6" borderId="11" xfId="2" applyNumberFormat="1" applyAlignment="1">
      <alignment horizontal="center" vertical="center" wrapText="1"/>
    </xf>
    <xf numFmtId="178" fontId="4" fillId="4" borderId="8" xfId="0" applyNumberFormat="1" applyFont="1" applyFill="1" applyBorder="1" applyAlignment="1">
      <alignment horizontal="center" vertical="center" wrapText="1"/>
    </xf>
    <xf numFmtId="178" fontId="4" fillId="4" borderId="9" xfId="0" applyNumberFormat="1" applyFont="1" applyFill="1" applyBorder="1" applyAlignment="1">
      <alignment horizontal="center" vertical="center" wrapText="1"/>
    </xf>
    <xf numFmtId="178" fontId="4" fillId="4" borderId="10" xfId="0" applyNumberFormat="1" applyFont="1" applyFill="1" applyBorder="1" applyAlignment="1">
      <alignment horizontal="center" vertical="center" wrapText="1"/>
    </xf>
    <xf numFmtId="0" fontId="3" fillId="6" borderId="11" xfId="2" applyAlignment="1">
      <alignment horizontal="center" vertical="center" wrapText="1"/>
    </xf>
    <xf numFmtId="0" fontId="3" fillId="6" borderId="11" xfId="2" applyAlignment="1">
      <alignment horizontal="center" vertical="center"/>
    </xf>
  </cellXfs>
  <cellStyles count="3">
    <cellStyle name="40% - 着色 3" xfId="1" builtinId="39"/>
    <cellStyle name="常规" xfId="0" builtinId="0"/>
    <cellStyle name="检查单元格" xfId="2" builtinId="23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Light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Light"/>
        <family val="2"/>
        <charset val="134"/>
        <scheme val="none"/>
      </font>
      <numFmt numFmtId="178" formatCode="0.00_ "/>
      <fill>
        <patternFill patternType="solid">
          <fgColor theme="6" tint="0.59999389629810485"/>
          <bgColor theme="6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6" tint="0.39997558519241921"/>
        </left>
        <right/>
        <top style="thick">
          <color theme="0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Light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numFmt numFmtId="178" formatCode="0.00_ 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Light"/>
        <family val="2"/>
        <charset val="134"/>
        <scheme val="none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Light"/>
        <family val="2"/>
        <charset val="134"/>
        <scheme val="none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Light"/>
        <family val="2"/>
        <charset val="134"/>
        <scheme val="none"/>
      </font>
      <numFmt numFmtId="178" formatCode="0.00_ "/>
      <fill>
        <patternFill patternType="solid">
          <fgColor theme="6" tint="0.59999389629810485"/>
          <bgColor theme="6" tint="0.5999938962981048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ck">
          <color theme="0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name val="Microsoft YaHei Light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charset val="134"/>
        <scheme val="minor"/>
      </font>
      <numFmt numFmtId="19" formatCode="dd/mm/yy"/>
      <fill>
        <patternFill patternType="solid">
          <fgColor indexed="64"/>
          <bgColor theme="6" tint="0.5999938962981048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Microsoft YaHei Light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charset val="134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Microsoft YaHei Light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Microsoft YaHei Light"/>
        <family val="2"/>
        <charset val="134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Light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Light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YaHei Light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b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'Q2'!$F$13:$G$13</c:f>
              <c:strCache>
                <c:ptCount val="1"/>
                <c:pt idx="0">
                  <c:v>m1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'Q2'!$G$2:$G$6</c:f>
              <c:numCache>
                <c:formatCode>0.00_ </c:formatCode>
                <c:ptCount val="5"/>
                <c:pt idx="0">
                  <c:v>377.704510538389</c:v>
                </c:pt>
                <c:pt idx="1">
                  <c:v>336.04478058849202</c:v>
                </c:pt>
                <c:pt idx="2">
                  <c:v>298.98</c:v>
                </c:pt>
                <c:pt idx="3">
                  <c:v>266.003358967395</c:v>
                </c:pt>
                <c:pt idx="4">
                  <c:v>236.663947360816</c:v>
                </c:pt>
              </c:numCache>
            </c:numRef>
          </c:cat>
          <c:val>
            <c:numRef>
              <c:f>'Q2'!$F$15:$F$19</c:f>
              <c:numCache>
                <c:formatCode>0.00_ </c:formatCode>
                <c:ptCount val="5"/>
                <c:pt idx="0">
                  <c:v>107.50977460422024</c:v>
                </c:pt>
                <c:pt idx="1">
                  <c:v>107.50977460422024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92-421B-92D3-1F0D11CE2D11}"/>
            </c:ext>
          </c:extLst>
        </c:ser>
        <c:ser>
          <c:idx val="1"/>
          <c:order val="1"/>
          <c:tx>
            <c:strRef>
              <c:f>'Q2'!$H$13:$I$13</c:f>
              <c:strCache>
                <c:ptCount val="1"/>
                <c:pt idx="0">
                  <c:v>m2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'Q2'!$G$2:$G$6</c:f>
              <c:numCache>
                <c:formatCode>0.00_ </c:formatCode>
                <c:ptCount val="5"/>
                <c:pt idx="0">
                  <c:v>377.704510538389</c:v>
                </c:pt>
                <c:pt idx="1">
                  <c:v>336.04478058849202</c:v>
                </c:pt>
                <c:pt idx="2">
                  <c:v>298.98</c:v>
                </c:pt>
                <c:pt idx="3">
                  <c:v>266.003358967395</c:v>
                </c:pt>
                <c:pt idx="4">
                  <c:v>236.663947360816</c:v>
                </c:pt>
              </c:numCache>
            </c:numRef>
          </c:cat>
          <c:val>
            <c:numRef>
              <c:f>'Q2'!$H$15:$H$19</c:f>
              <c:numCache>
                <c:formatCode>0.00_ </c:formatCode>
                <c:ptCount val="5"/>
                <c:pt idx="0">
                  <c:v>107</c:v>
                </c:pt>
                <c:pt idx="1">
                  <c:v>107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92-421B-92D3-1F0D11CE2D11}"/>
            </c:ext>
          </c:extLst>
        </c:ser>
        <c:ser>
          <c:idx val="2"/>
          <c:order val="2"/>
          <c:tx>
            <c:strRef>
              <c:f>'Q2'!$J$13:$K$13</c:f>
              <c:strCache>
                <c:ptCount val="1"/>
                <c:pt idx="0">
                  <c:v>m3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'Q2'!$J$15:$J$19</c:f>
              <c:numCache>
                <c:formatCode>0.00_ </c:formatCode>
                <c:ptCount val="5"/>
                <c:pt idx="0">
                  <c:v>106</c:v>
                </c:pt>
                <c:pt idx="1">
                  <c:v>106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92-421B-92D3-1F0D11CE2D11}"/>
            </c:ext>
          </c:extLst>
        </c:ser>
        <c:ser>
          <c:idx val="3"/>
          <c:order val="3"/>
          <c:tx>
            <c:strRef>
              <c:f>'Q2'!$F$20:$G$20</c:f>
              <c:strCache>
                <c:ptCount val="1"/>
                <c:pt idx="0">
                  <c:v>m4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'Q2'!$F$22:$F$26</c:f>
              <c:numCache>
                <c:formatCode>0.00_ </c:formatCode>
                <c:ptCount val="5"/>
                <c:pt idx="0">
                  <c:v>105</c:v>
                </c:pt>
                <c:pt idx="1">
                  <c:v>105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92-421B-92D3-1F0D11CE2D11}"/>
            </c:ext>
          </c:extLst>
        </c:ser>
        <c:ser>
          <c:idx val="4"/>
          <c:order val="4"/>
          <c:tx>
            <c:strRef>
              <c:f>'Q2'!$H$20:$I$20</c:f>
              <c:strCache>
                <c:ptCount val="1"/>
                <c:pt idx="0">
                  <c:v>m5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'Q2'!$H$22:$H$26</c:f>
              <c:numCache>
                <c:formatCode>0.00_ </c:formatCode>
                <c:ptCount val="5"/>
                <c:pt idx="0">
                  <c:v>104</c:v>
                </c:pt>
                <c:pt idx="1">
                  <c:v>104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92-421B-92D3-1F0D11CE2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2976271"/>
        <c:axId val="1422976751"/>
      </c:lineChart>
      <c:catAx>
        <c:axId val="1422976271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Stock</a:t>
                </a:r>
                <a:r>
                  <a:rPr lang="en-US" altLang="zh-CN" baseline="0"/>
                  <a:t> price at maturity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2976751"/>
        <c:crosses val="autoZero"/>
        <c:auto val="1"/>
        <c:lblAlgn val="ctr"/>
        <c:lblOffset val="100"/>
        <c:noMultiLvlLbl val="0"/>
      </c:catAx>
      <c:valAx>
        <c:axId val="14229767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Expected Payoff 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2976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1145708</xdr:colOff>
      <xdr:row>9</xdr:row>
      <xdr:rowOff>250411</xdr:rowOff>
    </xdr:from>
    <xdr:ext cx="993926" cy="311496"/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E0144BFE-E1EE-4C2A-A3BC-21CABFF412F0}"/>
            </a:ext>
          </a:extLst>
        </xdr:cNvPr>
        <xdr:cNvSpPr txBox="1"/>
      </xdr:nvSpPr>
      <xdr:spPr>
        <a:xfrm>
          <a:off x="7819488" y="2113543"/>
          <a:ext cx="99392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400" kern="1200"/>
            <a:t>Remaining</a:t>
          </a:r>
          <a:r>
            <a:rPr lang="en-US" altLang="zh-CN" sz="1400" kern="1200" baseline="0"/>
            <a:t> </a:t>
          </a:r>
          <a:endParaRPr lang="zh-CN" altLang="en-US" sz="1400" kern="1200"/>
        </a:p>
      </xdr:txBody>
    </xdr:sp>
    <xdr:clientData/>
  </xdr:oneCellAnchor>
  <xdr:twoCellAnchor>
    <xdr:from>
      <xdr:col>7</xdr:col>
      <xdr:colOff>411533</xdr:colOff>
      <xdr:row>10</xdr:row>
      <xdr:rowOff>87711</xdr:rowOff>
    </xdr:from>
    <xdr:to>
      <xdr:col>7</xdr:col>
      <xdr:colOff>427503</xdr:colOff>
      <xdr:row>11</xdr:row>
      <xdr:rowOff>164613</xdr:rowOff>
    </xdr:to>
    <xdr:cxnSp macro="">
      <xdr:nvCxnSpPr>
        <xdr:cNvPr id="12" name="直接箭头连接符 11">
          <a:extLst>
            <a:ext uri="{FF2B5EF4-FFF2-40B4-BE49-F238E27FC236}">
              <a16:creationId xmlns:a16="http://schemas.microsoft.com/office/drawing/2014/main" id="{95CB1128-FF79-4C13-1AF8-937D8D974317}"/>
            </a:ext>
          </a:extLst>
        </xdr:cNvPr>
        <xdr:cNvCxnSpPr/>
      </xdr:nvCxnSpPr>
      <xdr:spPr>
        <a:xfrm flipH="1">
          <a:off x="8262523" y="2376366"/>
          <a:ext cx="15970" cy="283996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619667</xdr:colOff>
      <xdr:row>28</xdr:row>
      <xdr:rowOff>91020</xdr:rowOff>
    </xdr:from>
    <xdr:to>
      <xdr:col>3</xdr:col>
      <xdr:colOff>1120775</xdr:colOff>
      <xdr:row>42</xdr:row>
      <xdr:rowOff>16100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51087B0-2757-E7E6-1F67-97D70A59C9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1245135</xdr:colOff>
      <xdr:row>6</xdr:row>
      <xdr:rowOff>52644</xdr:rowOff>
    </xdr:from>
    <xdr:ext cx="3311356" cy="530658"/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69A29BC3-7541-4892-8D56-3E2C57CE3FAA}"/>
            </a:ext>
          </a:extLst>
        </xdr:cNvPr>
        <xdr:cNvSpPr txBox="1"/>
      </xdr:nvSpPr>
      <xdr:spPr>
        <a:xfrm>
          <a:off x="4924506" y="1304501"/>
          <a:ext cx="3311356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400" kern="1200"/>
            <a:t>Five</a:t>
          </a:r>
          <a:r>
            <a:rPr lang="en-US" altLang="zh-CN" sz="1400" kern="1200" baseline="0"/>
            <a:t> different scenario</a:t>
          </a:r>
        </a:p>
        <a:p>
          <a:r>
            <a:rPr lang="en-US" altLang="zh-CN" sz="1400" kern="1200" baseline="0"/>
            <a:t>assuming the bank lower m to earn profits</a:t>
          </a:r>
          <a:endParaRPr lang="zh-CN" altLang="en-US" sz="1400" kern="1200"/>
        </a:p>
      </xdr:txBody>
    </xdr:sp>
    <xdr:clientData/>
  </xdr:oneCellAnchor>
  <xdr:oneCellAnchor>
    <xdr:from>
      <xdr:col>4</xdr:col>
      <xdr:colOff>550507</xdr:colOff>
      <xdr:row>10</xdr:row>
      <xdr:rowOff>68423</xdr:rowOff>
    </xdr:from>
    <xdr:ext cx="4745338" cy="311496"/>
    <xdr:sp macro="" textlink="">
      <xdr:nvSpPr>
        <xdr:cNvPr id="5" name="文本框 4">
          <a:extLst>
            <a:ext uri="{FF2B5EF4-FFF2-40B4-BE49-F238E27FC236}">
              <a16:creationId xmlns:a16="http://schemas.microsoft.com/office/drawing/2014/main" id="{DEE0BDDC-2ABA-C95C-D234-6D0DD244785B}"/>
            </a:ext>
          </a:extLst>
        </xdr:cNvPr>
        <xdr:cNvSpPr txBox="1"/>
      </xdr:nvSpPr>
      <xdr:spPr>
        <a:xfrm>
          <a:off x="8627707" y="2354423"/>
          <a:ext cx="474533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400" kern="1200"/>
            <a:t>Output</a:t>
          </a:r>
          <a:r>
            <a:rPr lang="en-US" altLang="zh-CN" sz="1400" kern="1200" baseline="0"/>
            <a:t> of 5 scenario, showing the expected payoff of investors</a:t>
          </a:r>
          <a:endParaRPr lang="zh-CN" altLang="en-US" sz="1400" kern="1200"/>
        </a:p>
      </xdr:txBody>
    </xdr:sp>
    <xdr:clientData/>
  </xdr:oneCellAnchor>
  <xdr:twoCellAnchor>
    <xdr:from>
      <xdr:col>3</xdr:col>
      <xdr:colOff>1915885</xdr:colOff>
      <xdr:row>11</xdr:row>
      <xdr:rowOff>92528</xdr:rowOff>
    </xdr:from>
    <xdr:to>
      <xdr:col>11</xdr:col>
      <xdr:colOff>130628</xdr:colOff>
      <xdr:row>27</xdr:row>
      <xdr:rowOff>92529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B035CFDA-6F72-FEAC-B936-89B5FF8F2B7E}"/>
            </a:ext>
          </a:extLst>
        </xdr:cNvPr>
        <xdr:cNvSpPr/>
      </xdr:nvSpPr>
      <xdr:spPr>
        <a:xfrm>
          <a:off x="8066314" y="2585357"/>
          <a:ext cx="5448300" cy="409302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 kern="12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84155D-240F-4E03-9E72-8AB14EA7D8C6}" name="表5" displayName="表5" ref="A1:B11" totalsRowShown="0" headerRowDxfId="16" dataDxfId="15" dataCellStyle="40% - 着色 3">
  <autoFilter ref="A1:B11" xr:uid="{7F84155D-240F-4E03-9E72-8AB14EA7D8C6}">
    <filterColumn colId="0" hiddenButton="1"/>
    <filterColumn colId="1" hiddenButton="1"/>
  </autoFilter>
  <tableColumns count="2">
    <tableColumn id="1" xr3:uid="{8969A2D6-2904-40B5-BBB5-C2517644D996}" name="Initial Date" dataDxfId="14" dataCellStyle="40% - 着色 3"/>
    <tableColumn id="2" xr3:uid="{CB3CFAF0-677D-4D26-9280-FCCF0AB6C067}" name="11-12-24" dataDxfId="13" dataCellStyle="40% - 着色 3"/>
  </tableColumns>
  <tableStyleInfo name="TableStyleMedium2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AF1F72-A620-48DF-BC5C-07BBC827F6DF}" name="表1" displayName="表1" ref="A2:B12" headerRowCount="0" totalsRowShown="0" headerRowDxfId="12" dataDxfId="11" dataCellStyle="40% - 着色 3">
  <tableColumns count="2">
    <tableColumn id="1" xr3:uid="{10C41265-7657-41CC-8AC6-9BE2F1FE236F}" name="Initial Date" headerRowDxfId="10" dataDxfId="9" dataCellStyle="40% - 着色 3"/>
    <tableColumn id="2" xr3:uid="{9841525E-6108-45E3-9399-E9B2D3363FDB}" name="09-12-24" headerRowDxfId="8" dataDxfId="7" dataCellStyle="40% - 着色 3"/>
  </tableColumns>
  <tableStyleInfo name="TableStyleMedium2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F5F332-49F5-4C6C-9E76-2780C53B3B3E}" name="表4" displayName="表4" ref="A14:E19" totalsRowShown="0">
  <autoFilter ref="A14:E19" xr:uid="{42F5F332-49F5-4C6C-9E76-2780C53B3B3E}"/>
  <tableColumns count="5">
    <tableColumn id="1" xr3:uid="{BAF6C990-BB8D-4FCB-B11C-23E40E6A6ACE}" name="Outcome of m" dataDxfId="6"/>
    <tableColumn id="2" xr3:uid="{E23B5233-A7A5-4146-8BA7-E9C74B866562}" name="Value of m"/>
    <tableColumn id="3" xr3:uid="{31ECE84B-82AC-4AE5-9B02-A16ED4FA6B98}" name="Cost of buying digitaH caHH" dataDxfId="5">
      <calculatedColumnFormula>$B$12*$B15*$B$4</calculatedColumnFormula>
    </tableColumn>
    <tableColumn id="4" xr3:uid="{B6147743-0A3C-4440-BAD7-5610D321BB09}" name="Profit Margin of bank" dataDxfId="4">
      <calculatedColumnFormula>$B$4-$B$11-C15</calculatedColumnFormula>
    </tableColumn>
    <tableColumn id="5" xr3:uid="{F2D0798D-B57F-4D51-959D-E0DCC5BF31E7}" name="ST" dataDxfId="3" dataCellStyle="检查单元格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52A5A1E-6C7F-4833-B2B2-BD1714005E55}" name="表6" displayName="表6" ref="A22:C27" totalsRowShown="0" headerRowDxfId="2">
  <autoFilter ref="A22:C27" xr:uid="{652A5A1E-6C7F-4833-B2B2-BD1714005E55}">
    <filterColumn colId="0" hiddenButton="1"/>
    <filterColumn colId="1" hiddenButton="1"/>
    <filterColumn colId="2" hiddenButton="1"/>
  </autoFilter>
  <tableColumns count="3">
    <tableColumn id="1" xr3:uid="{892E4D9D-9A24-472B-9E67-72E13A11B9D6}" name="Results" dataDxfId="1"/>
    <tableColumn id="2" xr3:uid="{4A330439-3802-4B44-8580-041FBB52A585}" name="Expected Payoff" dataDxfId="0"/>
    <tableColumn id="3" xr3:uid="{60592EA7-4A29-48A1-AC13-6DD2C99F88D8}" name="Profit Margin of Bank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A9" zoomScaleNormal="100" workbookViewId="0">
      <selection activeCell="H22" sqref="H22"/>
    </sheetView>
  </sheetViews>
  <sheetFormatPr defaultRowHeight="16.3" x14ac:dyDescent="0.35"/>
  <cols>
    <col min="1" max="1" width="33.5703125" style="3" bestFit="1" customWidth="1"/>
    <col min="2" max="2" width="11.85546875" style="3" bestFit="1" customWidth="1"/>
    <col min="3" max="4" width="9.2109375" style="3" bestFit="1" customWidth="1"/>
    <col min="5" max="5" width="11.78515625" style="3" bestFit="1" customWidth="1"/>
    <col min="6" max="6" width="11.85546875" style="3" bestFit="1" customWidth="1"/>
    <col min="7" max="7" width="15.5703125" style="3" customWidth="1"/>
    <col min="8" max="8" width="12.0703125" style="3" customWidth="1"/>
    <col min="9" max="9" width="11.7109375" style="3" bestFit="1" customWidth="1"/>
    <col min="10" max="10" width="14.42578125" style="3" customWidth="1"/>
    <col min="11" max="16384" width="9.140625" style="3"/>
  </cols>
  <sheetData>
    <row r="1" spans="1:8" x14ac:dyDescent="0.35">
      <c r="A1" s="1" t="s">
        <v>1</v>
      </c>
      <c r="B1" s="2" t="s">
        <v>51</v>
      </c>
    </row>
    <row r="2" spans="1:8" x14ac:dyDescent="0.35">
      <c r="A2" s="1" t="s">
        <v>2</v>
      </c>
      <c r="B2" s="2">
        <v>46038</v>
      </c>
      <c r="C2" s="24"/>
    </row>
    <row r="3" spans="1:8" ht="16.75" thickBot="1" x14ac:dyDescent="0.4">
      <c r="A3" s="1" t="s">
        <v>3</v>
      </c>
      <c r="B3" s="1">
        <v>301.76</v>
      </c>
      <c r="C3" s="24"/>
      <c r="D3" s="4" t="s">
        <v>16</v>
      </c>
      <c r="E3" s="5" t="s">
        <v>20</v>
      </c>
    </row>
    <row r="4" spans="1:8" ht="16.75" thickTop="1" x14ac:dyDescent="0.35">
      <c r="A4" s="1" t="s">
        <v>4</v>
      </c>
      <c r="B4" s="11">
        <v>100</v>
      </c>
      <c r="D4" s="7">
        <v>377.704510538389</v>
      </c>
      <c r="E4" s="8">
        <v>0.113801430227567</v>
      </c>
    </row>
    <row r="5" spans="1:8" x14ac:dyDescent="0.35">
      <c r="A5" s="1" t="s">
        <v>5</v>
      </c>
      <c r="B5" s="1">
        <v>4.0399999999999998E-2</v>
      </c>
      <c r="D5" s="9">
        <v>336.04478058849202</v>
      </c>
      <c r="E5" s="10">
        <v>0.32853205743207298</v>
      </c>
    </row>
    <row r="6" spans="1:8" x14ac:dyDescent="0.35">
      <c r="A6" s="1" t="s">
        <v>22</v>
      </c>
      <c r="B6" s="14">
        <v>0.1115</v>
      </c>
      <c r="D6" s="12">
        <v>298.98</v>
      </c>
      <c r="E6" s="13">
        <v>0.35566330057776402</v>
      </c>
    </row>
    <row r="7" spans="1:8" x14ac:dyDescent="0.35">
      <c r="A7" s="1" t="s">
        <v>21</v>
      </c>
      <c r="B7" s="14">
        <v>0</v>
      </c>
      <c r="D7" s="9">
        <v>266.003358967395</v>
      </c>
      <c r="E7" s="10">
        <v>0.17112672435697501</v>
      </c>
    </row>
    <row r="8" spans="1:8" x14ac:dyDescent="0.35">
      <c r="A8" s="1" t="s">
        <v>6</v>
      </c>
      <c r="B8" s="14">
        <f>(B2-B1)/365</f>
        <v>1.0986301369863014</v>
      </c>
      <c r="D8" s="12">
        <v>236.663947360816</v>
      </c>
      <c r="E8" s="13">
        <v>3.087648740562E-2</v>
      </c>
    </row>
    <row r="9" spans="1:8" x14ac:dyDescent="0.35">
      <c r="A9" s="1" t="s">
        <v>7</v>
      </c>
      <c r="B9" s="1">
        <f>1/(1+$B$5)^($B$8)</f>
        <v>0.95742151852060831</v>
      </c>
    </row>
    <row r="10" spans="1:8" ht="32.6" x14ac:dyDescent="0.35">
      <c r="A10" s="1" t="s">
        <v>9</v>
      </c>
      <c r="B10" s="1">
        <f>0.9*B4</f>
        <v>90</v>
      </c>
    </row>
    <row r="11" spans="1:8" x14ac:dyDescent="0.35">
      <c r="A11" s="1" t="s">
        <v>8</v>
      </c>
      <c r="B11" s="1">
        <f>B10*B9</f>
        <v>86.167936666854743</v>
      </c>
    </row>
    <row r="13" spans="1:8" ht="49.3" thickBot="1" x14ac:dyDescent="0.4">
      <c r="A13" s="17" t="s">
        <v>0</v>
      </c>
      <c r="B13" s="16" t="s">
        <v>10</v>
      </c>
      <c r="C13" s="16" t="s">
        <v>11</v>
      </c>
      <c r="D13" s="16" t="s">
        <v>12</v>
      </c>
      <c r="E13" s="16" t="s">
        <v>13</v>
      </c>
      <c r="F13" s="16" t="s">
        <v>14</v>
      </c>
      <c r="G13" s="16" t="s">
        <v>15</v>
      </c>
      <c r="H13" s="16" t="s">
        <v>19</v>
      </c>
    </row>
    <row r="14" spans="1:8" ht="16.75" thickTop="1" x14ac:dyDescent="0.35">
      <c r="A14" s="25"/>
      <c r="B14" s="26">
        <f>B4/B3</f>
        <v>0.33138918345705198</v>
      </c>
      <c r="C14" s="26"/>
      <c r="D14" s="26"/>
      <c r="E14" s="26"/>
      <c r="F14" s="26"/>
      <c r="G14" s="26"/>
      <c r="H14" s="26"/>
    </row>
    <row r="15" spans="1:8" x14ac:dyDescent="0.35">
      <c r="A15" s="27"/>
      <c r="B15" s="28"/>
      <c r="C15" s="28"/>
      <c r="D15" s="28"/>
      <c r="E15" s="28"/>
      <c r="F15" s="28"/>
      <c r="G15" s="28"/>
      <c r="H15" s="28"/>
    </row>
    <row r="16" spans="1:8" x14ac:dyDescent="0.35">
      <c r="A16" s="29">
        <v>280</v>
      </c>
      <c r="B16" s="30">
        <v>14.05</v>
      </c>
      <c r="C16" s="30">
        <v>305</v>
      </c>
      <c r="D16" s="30">
        <v>26.1</v>
      </c>
      <c r="E16" s="30">
        <f>D16+B16</f>
        <v>40.150000000000006</v>
      </c>
      <c r="F16" s="30">
        <f>$B$4/$B$3</f>
        <v>0.33138918345705198</v>
      </c>
      <c r="G16" s="30">
        <f>(B16+D16)*$B$14</f>
        <v>13.305275715800638</v>
      </c>
      <c r="H16" s="13">
        <f xml:space="preserve"> ($B$4 - $B$11) - G16</f>
        <v>0.52678761734461865</v>
      </c>
    </row>
    <row r="17" spans="1:9" x14ac:dyDescent="0.35">
      <c r="A17" s="27">
        <v>290</v>
      </c>
      <c r="B17" s="28">
        <v>15.75</v>
      </c>
      <c r="C17" s="28">
        <v>310</v>
      </c>
      <c r="D17" s="28">
        <v>23.4</v>
      </c>
      <c r="E17" s="28">
        <f>D17+B17</f>
        <v>39.15</v>
      </c>
      <c r="F17" s="28">
        <f>$B$4/$B$3</f>
        <v>0.33138918345705198</v>
      </c>
      <c r="G17" s="28">
        <f>(B17+D17)*$B$14</f>
        <v>12.973886532343585</v>
      </c>
      <c r="H17" s="10">
        <f xml:space="preserve"> ($B$4 - $B$11) - G17</f>
        <v>0.85817680080167236</v>
      </c>
    </row>
    <row r="18" spans="1:9" x14ac:dyDescent="0.35">
      <c r="A18" s="29">
        <v>295</v>
      </c>
      <c r="B18" s="30">
        <v>17.8</v>
      </c>
      <c r="C18" s="30">
        <v>315</v>
      </c>
      <c r="D18" s="30">
        <v>21.1</v>
      </c>
      <c r="E18" s="30">
        <f>D18+B18</f>
        <v>38.900000000000006</v>
      </c>
      <c r="F18" s="30">
        <f>$B$4/$B$3</f>
        <v>0.33138918345705198</v>
      </c>
      <c r="G18" s="30">
        <f>(B18+D18)*$B$14</f>
        <v>12.891039236479324</v>
      </c>
      <c r="H18" s="13">
        <f xml:space="preserve"> ($B$4 - $B$11) - G18</f>
        <v>0.94102409666593267</v>
      </c>
    </row>
    <row r="19" spans="1:9" ht="18.45" customHeight="1" thickBot="1" x14ac:dyDescent="0.4"/>
    <row r="20" spans="1:9" ht="41.6" customHeight="1" thickTop="1" x14ac:dyDescent="0.35">
      <c r="B20" s="9" t="s">
        <v>42</v>
      </c>
      <c r="C20" s="7">
        <v>377.704510538389</v>
      </c>
      <c r="D20" s="9">
        <v>336.04478058849202</v>
      </c>
      <c r="E20" s="12">
        <v>298.98</v>
      </c>
      <c r="F20" s="9">
        <v>266.003358967395</v>
      </c>
      <c r="G20" s="12">
        <v>236.663947360816</v>
      </c>
    </row>
    <row r="21" spans="1:9" ht="48.9" x14ac:dyDescent="0.35">
      <c r="B21" s="31"/>
      <c r="C21" s="31" t="s">
        <v>18</v>
      </c>
      <c r="D21" s="18" t="s">
        <v>18</v>
      </c>
      <c r="E21" s="18" t="s">
        <v>18</v>
      </c>
      <c r="F21" s="18" t="s">
        <v>18</v>
      </c>
      <c r="G21" s="18" t="s">
        <v>18</v>
      </c>
      <c r="H21" s="18" t="s">
        <v>46</v>
      </c>
      <c r="I21" s="16" t="s">
        <v>19</v>
      </c>
    </row>
    <row r="22" spans="1:9" ht="32.6" x14ac:dyDescent="0.35">
      <c r="B22" s="29" t="s">
        <v>43</v>
      </c>
      <c r="C22" s="13">
        <f>90+IF($D$4&lt;A16,F16*(A16-$D$4),IF($D$4&gt;'Q1'!$C16,F16*($D$4-A16),0))</f>
        <v>122.37821796738766</v>
      </c>
      <c r="D22" s="13">
        <f>90+IF($D$5&lt;A16,F16*(A16-$D$5),IF($D$5&gt;'Q1'!$C16,F16*($D$5-A16),0))</f>
        <v>108.57263407625001</v>
      </c>
      <c r="E22" s="13">
        <f>90+IF($D$6&lt;A16,F16*(A16-$D$6),IF($D$6&gt;'Q1'!$C16,F16*($D$56-A16),0))</f>
        <v>90</v>
      </c>
      <c r="F22" s="13">
        <f>90+IF($D$7&lt;A16,F16*(A16-$D$7),IF($D$7&gt;'Q1'!$C16,F16*($D$7-A16),0))</f>
        <v>94.638335442936437</v>
      </c>
      <c r="G22" s="13">
        <f>90+IF($D$8&lt;A16,F16*(A16-$D$8),IF($D$8&gt;'Q1'!$C16,F16*($D$8-A16),0))</f>
        <v>104.361099098351</v>
      </c>
      <c r="H22" s="13">
        <f>C22*$E$4+D22*$E$5+E22*$E$6+F22*$E$7+G22*$E$8</f>
        <v>101.02355664417165</v>
      </c>
      <c r="I22" s="13">
        <v>0.52678761734461865</v>
      </c>
    </row>
    <row r="23" spans="1:9" ht="32.6" x14ac:dyDescent="0.35">
      <c r="B23" s="29" t="s">
        <v>44</v>
      </c>
      <c r="C23" s="13">
        <f>90+IF($D$4&lt;A17,F17*(A17-$D$4),IF($D$4&gt;'Q1'!$C17,F17*($D$4-A17),0))</f>
        <v>119.06432613281714</v>
      </c>
      <c r="D23" s="13">
        <f>90+IF($D$5&lt;A17,F17*(A17-$D$5),IF($D$5&gt;'Q1'!$C17,F17*($D$5-A17),0))</f>
        <v>105.25874224167949</v>
      </c>
      <c r="E23" s="13">
        <f>90+IF($D$6&lt;A17,F17*(A17-$D$6),IF($D$6&gt;'Q1'!$C17,F17*($D$56-A17),0))</f>
        <v>90</v>
      </c>
      <c r="F23" s="13">
        <f>90+IF($D$7&lt;A17,F17*(A17-$D$7),IF($D$7&gt;'Q1'!$C17,F17*($D$7-A17),0))</f>
        <v>97.952227277506964</v>
      </c>
      <c r="G23" s="13">
        <f>90+IF($D$8&lt;A17,F17*(A17-$D$8),IF($D$8&gt;'Q1'!$C17,F17*($D$8-A17),0))</f>
        <v>107.67499093292153</v>
      </c>
      <c r="H23" s="13">
        <f t="shared" ref="H23:H24" si="0">C23*$E$4+D23*$E$5+E23*$E$6+F23*$E$7+G23*$E$8</f>
        <v>100.22712810527635</v>
      </c>
      <c r="I23" s="13">
        <v>0.85817680080167236</v>
      </c>
    </row>
    <row r="24" spans="1:9" ht="32.6" x14ac:dyDescent="0.35">
      <c r="B24" s="29" t="s">
        <v>45</v>
      </c>
      <c r="C24" s="13">
        <f>90+IF($D$4&lt;A18,F18*(A18-$D$4),IF($D$4&gt;'Q1'!$C18,F18*($D$4-A18),0))</f>
        <v>117.40738021553189</v>
      </c>
      <c r="D24" s="13">
        <f>90+IF($D$5&lt;A18,F18*(A18-$D$5),IF($D$5&gt;'Q1'!$C18,F18*($D$5-A18),0))</f>
        <v>103.60179632439423</v>
      </c>
      <c r="E24" s="13">
        <f>90+IF($D$6&lt;A18,F18*(A18-$D$6),IF($D$6&gt;'Q1'!$C18,F18*($D$56-A18),0))</f>
        <v>90</v>
      </c>
      <c r="F24" s="13">
        <f>90+IF($D$7&lt;A18,F18*(A18-$D$7),IF($D$7&gt;'Q1'!$C18,F18*($D$7-A18),0))</f>
        <v>99.60917319479222</v>
      </c>
      <c r="G24" s="13">
        <f>90+IF($D$8&lt;A18,F18*(A18-$D$8),IF($D$8&gt;'Q1'!$C18,F18*($D$8-A18),0))</f>
        <v>109.33193685020679</v>
      </c>
      <c r="H24" s="13">
        <f t="shared" si="0"/>
        <v>99.8289138358287</v>
      </c>
      <c r="I24" s="13">
        <v>0.94102409666593267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71E5A-C365-471D-A4DF-4DD0EC7637D5}">
  <dimension ref="A1:K31"/>
  <sheetViews>
    <sheetView topLeftCell="A11" zoomScaleNormal="100" workbookViewId="0">
      <selection activeCell="C15" sqref="C15"/>
    </sheetView>
  </sheetViews>
  <sheetFormatPr defaultRowHeight="16.3" x14ac:dyDescent="0.35"/>
  <cols>
    <col min="1" max="1" width="32.35546875" style="3" bestFit="1" customWidth="1"/>
    <col min="2" max="2" width="15.92578125" style="3" customWidth="1"/>
    <col min="3" max="3" width="32.42578125" style="3" bestFit="1" customWidth="1"/>
    <col min="4" max="4" width="25.28515625" style="3" bestFit="1" customWidth="1"/>
    <col min="5" max="5" width="11.7109375" style="3" bestFit="1" customWidth="1"/>
    <col min="6" max="6" width="9.35546875" style="3" bestFit="1" customWidth="1"/>
    <col min="7" max="7" width="9.28515625" style="3" bestFit="1" customWidth="1"/>
    <col min="8" max="8" width="11.92578125" style="3" bestFit="1" customWidth="1"/>
    <col min="9" max="9" width="8.7109375" style="3" bestFit="1" customWidth="1"/>
    <col min="10" max="10" width="9.35546875" style="3" bestFit="1" customWidth="1"/>
    <col min="11" max="11" width="9.28515625" style="3" bestFit="1" customWidth="1"/>
    <col min="12" max="16384" width="9.140625" style="3"/>
  </cols>
  <sheetData>
    <row r="1" spans="1:11" ht="16.75" thickBot="1" x14ac:dyDescent="0.4">
      <c r="A1" s="1" t="s">
        <v>35</v>
      </c>
      <c r="B1" s="2">
        <v>45637</v>
      </c>
      <c r="G1" s="4" t="s">
        <v>16</v>
      </c>
      <c r="H1" s="5" t="s">
        <v>36</v>
      </c>
    </row>
    <row r="2" spans="1:11" ht="16.75" thickTop="1" x14ac:dyDescent="0.35">
      <c r="A2" s="1" t="s">
        <v>2</v>
      </c>
      <c r="B2" s="2">
        <v>46038</v>
      </c>
      <c r="C2" s="6"/>
      <c r="G2" s="7">
        <v>377.704510538389</v>
      </c>
      <c r="H2" s="8">
        <v>0.113801430227567</v>
      </c>
    </row>
    <row r="3" spans="1:11" x14ac:dyDescent="0.35">
      <c r="A3" s="1" t="s">
        <v>23</v>
      </c>
      <c r="B3" s="1">
        <v>301.76</v>
      </c>
      <c r="G3" s="9">
        <v>336.04478058849202</v>
      </c>
      <c r="H3" s="10">
        <v>0.32853205743207298</v>
      </c>
    </row>
    <row r="4" spans="1:11" x14ac:dyDescent="0.35">
      <c r="A4" s="1" t="s">
        <v>24</v>
      </c>
      <c r="B4" s="11">
        <v>100</v>
      </c>
      <c r="G4" s="12">
        <v>298.98</v>
      </c>
      <c r="H4" s="13">
        <v>0.35566330057776402</v>
      </c>
    </row>
    <row r="5" spans="1:11" x14ac:dyDescent="0.35">
      <c r="A5" s="1" t="s">
        <v>37</v>
      </c>
      <c r="B5" s="1">
        <v>4.0399999999999998E-2</v>
      </c>
      <c r="G5" s="9">
        <v>266.003358967395</v>
      </c>
      <c r="H5" s="10">
        <v>0.17112672435697501</v>
      </c>
    </row>
    <row r="6" spans="1:11" x14ac:dyDescent="0.35">
      <c r="A6" s="1" t="s">
        <v>25</v>
      </c>
      <c r="B6" s="14">
        <v>0.1115</v>
      </c>
      <c r="G6" s="12">
        <v>236.663947360816</v>
      </c>
      <c r="H6" s="13">
        <v>3.087648740562E-2</v>
      </c>
    </row>
    <row r="7" spans="1:11" x14ac:dyDescent="0.35">
      <c r="A7" s="1" t="s">
        <v>26</v>
      </c>
      <c r="B7" s="14">
        <v>0</v>
      </c>
    </row>
    <row r="8" spans="1:11" x14ac:dyDescent="0.35">
      <c r="A8" s="1" t="s">
        <v>27</v>
      </c>
      <c r="B8" s="14">
        <f>(B2-B1)/365</f>
        <v>1.0986301369863014</v>
      </c>
    </row>
    <row r="9" spans="1:11" x14ac:dyDescent="0.35">
      <c r="A9" s="1" t="s">
        <v>28</v>
      </c>
      <c r="B9" s="1">
        <v>0.95569232983510066</v>
      </c>
      <c r="C9" s="6"/>
    </row>
    <row r="10" spans="1:11" ht="32.6" x14ac:dyDescent="0.35">
      <c r="A10" s="1" t="s">
        <v>38</v>
      </c>
      <c r="B10" s="1">
        <v>100</v>
      </c>
    </row>
    <row r="11" spans="1:11" x14ac:dyDescent="0.35">
      <c r="A11" s="1" t="s">
        <v>39</v>
      </c>
      <c r="B11" s="1">
        <f>B9*B10</f>
        <v>95.569232983510062</v>
      </c>
    </row>
    <row r="12" spans="1:11" ht="16.75" thickBot="1" x14ac:dyDescent="0.4">
      <c r="A12" s="15" t="s">
        <v>52</v>
      </c>
      <c r="B12" s="3">
        <v>0.59</v>
      </c>
    </row>
    <row r="13" spans="1:11" ht="17.149999999999999" thickTop="1" thickBot="1" x14ac:dyDescent="0.4">
      <c r="A13" s="15"/>
      <c r="B13" s="15"/>
      <c r="C13" s="15"/>
      <c r="D13" s="15"/>
      <c r="E13" s="15"/>
      <c r="F13" s="41" t="s">
        <v>30</v>
      </c>
      <c r="G13" s="41"/>
      <c r="H13" s="41" t="s">
        <v>31</v>
      </c>
      <c r="I13" s="41"/>
      <c r="J13" s="41" t="s">
        <v>32</v>
      </c>
      <c r="K13" s="41"/>
    </row>
    <row r="14" spans="1:11" ht="33.450000000000003" thickTop="1" thickBot="1" x14ac:dyDescent="0.4">
      <c r="A14" s="4" t="s">
        <v>29</v>
      </c>
      <c r="B14" s="5" t="s">
        <v>41</v>
      </c>
      <c r="C14" s="16" t="s">
        <v>40</v>
      </c>
      <c r="D14" s="17" t="s">
        <v>49</v>
      </c>
      <c r="E14" s="37" t="s">
        <v>16</v>
      </c>
      <c r="F14" s="18" t="s">
        <v>18</v>
      </c>
      <c r="G14" s="19" t="s">
        <v>17</v>
      </c>
      <c r="H14" s="18" t="s">
        <v>18</v>
      </c>
      <c r="I14" s="19" t="s">
        <v>17</v>
      </c>
      <c r="J14" s="18" t="s">
        <v>18</v>
      </c>
      <c r="K14" s="19" t="s">
        <v>17</v>
      </c>
    </row>
    <row r="15" spans="1:11" ht="17.149999999999999" thickTop="1" thickBot="1" x14ac:dyDescent="0.4">
      <c r="A15" s="20" t="s">
        <v>30</v>
      </c>
      <c r="B15" s="21">
        <f>($B$4-$B$11)/($B$12*$B$4)</f>
        <v>7.5097746042202332E-2</v>
      </c>
      <c r="C15" s="22">
        <f>$B$12*$B15*$B$4</f>
        <v>4.4307670164899369</v>
      </c>
      <c r="D15" s="22">
        <f>$B$4-$B$11-C15</f>
        <v>0</v>
      </c>
      <c r="E15" s="37">
        <v>377.704510538389</v>
      </c>
      <c r="F15" s="13">
        <f>100+IF(G2&gt;=$B$3,$B$15*$B$4,IF(G2&lt;$B$3,0))</f>
        <v>107.50977460422024</v>
      </c>
      <c r="G15" s="38">
        <f>F15*H2+F16*H3+F17*H4+F18*H5+F19*H6</f>
        <v>103.32182479222243</v>
      </c>
      <c r="H15" s="13">
        <f>100+IF(G2&gt;=$B$3,$B$16*$B$4,IF(G2&lt;$B$3,0))</f>
        <v>107</v>
      </c>
      <c r="I15" s="38">
        <f>H15*H2+H16*H3+H17*H4+H18*H5+H19*H6</f>
        <v>103.0963344136174</v>
      </c>
      <c r="J15" s="13">
        <f>100+IF(G2&gt;=$B$3,$B$17*$B$4,IF(G2&lt;$B$3,0))</f>
        <v>106</v>
      </c>
      <c r="K15" s="38">
        <f>J15*H2+J16*H3+J17*H4+J18*H5+J19*H6</f>
        <v>102.65400092595775</v>
      </c>
    </row>
    <row r="16" spans="1:11" ht="17.149999999999999" thickTop="1" thickBot="1" x14ac:dyDescent="0.4">
      <c r="A16" s="7" t="s">
        <v>31</v>
      </c>
      <c r="B16" s="8">
        <v>7.0000000000000007E-2</v>
      </c>
      <c r="C16" s="23">
        <f>$B$12*$B16*$B$4</f>
        <v>4.1300000000000008</v>
      </c>
      <c r="D16" s="23">
        <f t="shared" ref="D16:D19" si="0">$B$4-$B$11-C16</f>
        <v>0.30076701648993698</v>
      </c>
      <c r="E16" s="37">
        <v>336.04478058849202</v>
      </c>
      <c r="F16" s="13">
        <f>100+IF(G3&gt;=$B$3,$B$15*$B$4,IF(G3&lt;$B$3,0))</f>
        <v>107.50977460422024</v>
      </c>
      <c r="G16" s="39"/>
      <c r="H16" s="13">
        <f>100+IF(G3&gt;=$B$3,$B$16*$B$4,IF(G3&lt;$B$3,0))</f>
        <v>107</v>
      </c>
      <c r="I16" s="39"/>
      <c r="J16" s="13">
        <f>100+IF(G3&gt;=$B$3,$B$17*$B$4,IF(G3&lt;$B$3,0))</f>
        <v>106</v>
      </c>
      <c r="K16" s="39"/>
    </row>
    <row r="17" spans="1:11" ht="17.149999999999999" thickTop="1" thickBot="1" x14ac:dyDescent="0.4">
      <c r="A17" s="7" t="s">
        <v>32</v>
      </c>
      <c r="B17" s="13">
        <v>0.06</v>
      </c>
      <c r="C17" s="23">
        <f>$B$12*$B17*$B$4</f>
        <v>3.5399999999999996</v>
      </c>
      <c r="D17" s="23">
        <f t="shared" si="0"/>
        <v>0.89076701648993817</v>
      </c>
      <c r="E17" s="37">
        <v>298.98</v>
      </c>
      <c r="F17" s="13">
        <f>100+IF(G4&gt;=$B$3,$B$15*$B$4,IF(G4&lt;$B$3,0))</f>
        <v>100</v>
      </c>
      <c r="G17" s="39"/>
      <c r="H17" s="13">
        <f>100+IF(G4&gt;=$B$3,$B$16*$B$4,IF(G4&lt;$B$3,0))</f>
        <v>100</v>
      </c>
      <c r="I17" s="39"/>
      <c r="J17" s="13">
        <f>100+IF(G4&gt;=$B$3,$B$17*$B$4,IF(G4&lt;$B$3,0))</f>
        <v>100</v>
      </c>
      <c r="K17" s="39"/>
    </row>
    <row r="18" spans="1:11" ht="17.149999999999999" thickTop="1" thickBot="1" x14ac:dyDescent="0.4">
      <c r="A18" s="7" t="s">
        <v>33</v>
      </c>
      <c r="B18" s="10">
        <v>0.05</v>
      </c>
      <c r="C18" s="23">
        <f>$B$12*$B18*$B$4</f>
        <v>2.9499999999999997</v>
      </c>
      <c r="D18" s="23">
        <f t="shared" si="0"/>
        <v>1.480767016489938</v>
      </c>
      <c r="E18" s="37">
        <v>266.003358967395</v>
      </c>
      <c r="F18" s="13">
        <f>100+IF(G5&gt;=$B$3,$B$15*$B$4,IF(G5&lt;$B$3,0))</f>
        <v>100</v>
      </c>
      <c r="G18" s="39"/>
      <c r="H18" s="13">
        <f>100+IF(G5&gt;=$B$3,$B$16*$B$4,IF(G5&lt;$B$3,0))</f>
        <v>100</v>
      </c>
      <c r="I18" s="39"/>
      <c r="J18" s="13">
        <f>100+IF(G5&gt;=$B$3,$B$17*$B$4,IF(G5&lt;$B$3,0))</f>
        <v>100</v>
      </c>
      <c r="K18" s="39"/>
    </row>
    <row r="19" spans="1:11" ht="17.149999999999999" thickTop="1" thickBot="1" x14ac:dyDescent="0.4">
      <c r="A19" s="7" t="s">
        <v>34</v>
      </c>
      <c r="B19" s="13">
        <v>0.04</v>
      </c>
      <c r="C19" s="23">
        <f>$B$12*$B19*$B$4</f>
        <v>2.36</v>
      </c>
      <c r="D19" s="23">
        <f t="shared" si="0"/>
        <v>2.0707670164899379</v>
      </c>
      <c r="E19" s="37">
        <v>236.663947360816</v>
      </c>
      <c r="F19" s="13">
        <f>100+IF(G6&gt;=$B$3,$B$15*$B$4,IF(G6&lt;$B$3,0))</f>
        <v>100</v>
      </c>
      <c r="G19" s="40"/>
      <c r="H19" s="13">
        <f>100+IF(G6&gt;=$B$3,$B$16*$B$4,IF(G6&lt;$B$3,0))</f>
        <v>100</v>
      </c>
      <c r="I19" s="40"/>
      <c r="J19" s="13">
        <f>100+IF(G6&gt;=$B$3,$B$17*$B$4,IF(G6&lt;$B$3,0))</f>
        <v>100</v>
      </c>
      <c r="K19" s="40"/>
    </row>
    <row r="20" spans="1:11" ht="17.149999999999999" thickTop="1" thickBot="1" x14ac:dyDescent="0.4">
      <c r="A20" s="15"/>
      <c r="B20" s="15"/>
      <c r="C20" s="15"/>
      <c r="D20" s="15"/>
      <c r="E20" s="15"/>
      <c r="F20" s="42" t="s">
        <v>33</v>
      </c>
      <c r="G20" s="42"/>
      <c r="H20" s="42" t="s">
        <v>34</v>
      </c>
      <c r="I20" s="42"/>
    </row>
    <row r="21" spans="1:11" ht="33.450000000000003" thickTop="1" thickBot="1" x14ac:dyDescent="0.4">
      <c r="A21" s="15"/>
      <c r="B21" s="15"/>
      <c r="C21" s="15"/>
      <c r="D21" s="15"/>
      <c r="E21" s="15"/>
      <c r="F21" s="18" t="s">
        <v>18</v>
      </c>
      <c r="G21" s="19" t="s">
        <v>17</v>
      </c>
      <c r="H21" s="18" t="s">
        <v>18</v>
      </c>
      <c r="I21" s="19" t="s">
        <v>17</v>
      </c>
    </row>
    <row r="22" spans="1:11" ht="17.149999999999999" thickTop="1" thickBot="1" x14ac:dyDescent="0.4">
      <c r="A22" s="15" t="s">
        <v>50</v>
      </c>
      <c r="B22" s="15" t="s">
        <v>47</v>
      </c>
      <c r="C22" s="15" t="s">
        <v>48</v>
      </c>
      <c r="D22" s="15"/>
      <c r="E22" s="15"/>
      <c r="F22" s="13">
        <f>100+IF(G2&gt;=$B$3,$B$18*$B$4,IF(G2&lt;$B$3,0))</f>
        <v>105</v>
      </c>
      <c r="G22" s="38">
        <f>F22*H2+F23*H3+F24*H4+F25*H5+F26*H6</f>
        <v>102.21166743829812</v>
      </c>
      <c r="H22" s="13">
        <f>100+IF(G2&gt;=$B$3,$B$19*$B$4,IF(G2&lt;$B$3,0))</f>
        <v>104</v>
      </c>
      <c r="I22" s="38">
        <f>H22*H2+H23*H3+H24*H4+H25*H5+H26*H6</f>
        <v>101.76933395063847</v>
      </c>
    </row>
    <row r="23" spans="1:11" ht="17.149999999999999" thickTop="1" thickBot="1" x14ac:dyDescent="0.4">
      <c r="A23" s="32" t="s">
        <v>30</v>
      </c>
      <c r="B23" s="23">
        <f>G15</f>
        <v>103.32182479222243</v>
      </c>
      <c r="C23" s="34">
        <f>D15</f>
        <v>0</v>
      </c>
      <c r="D23" s="15"/>
      <c r="E23" s="15"/>
      <c r="F23" s="13">
        <f>100+IF(G3&gt;=$B$3,$B$18*$B$4,IF(G3&lt;$B$3,0))</f>
        <v>105</v>
      </c>
      <c r="G23" s="39"/>
      <c r="H23" s="13">
        <f>100+IF(G3&gt;=$B$3,$B$19*$B$4,IF(G3&lt;$B$3,0))</f>
        <v>104</v>
      </c>
      <c r="I23" s="39"/>
    </row>
    <row r="24" spans="1:11" ht="17.149999999999999" thickTop="1" thickBot="1" x14ac:dyDescent="0.4">
      <c r="A24" s="33" t="s">
        <v>31</v>
      </c>
      <c r="B24" s="23">
        <f>I15</f>
        <v>103.0963344136174</v>
      </c>
      <c r="C24" s="35">
        <f>D16</f>
        <v>0.30076701648993698</v>
      </c>
      <c r="D24" s="15"/>
      <c r="E24" s="15"/>
      <c r="F24" s="13">
        <f>100+IF(G4&gt;=$B$3,$B$18*$B$4,IF(G4&lt;$B$3,0))</f>
        <v>100</v>
      </c>
      <c r="G24" s="39"/>
      <c r="H24" s="13">
        <f>100+IF(G4&gt;=$B$3,$B$19*$B$4,IF(G4&lt;$B$3,0))</f>
        <v>100</v>
      </c>
      <c r="I24" s="39"/>
    </row>
    <row r="25" spans="1:11" ht="17.149999999999999" thickTop="1" thickBot="1" x14ac:dyDescent="0.4">
      <c r="A25" s="33" t="s">
        <v>32</v>
      </c>
      <c r="B25" s="23">
        <f>K15</f>
        <v>102.65400092595775</v>
      </c>
      <c r="C25" s="36">
        <f>D17</f>
        <v>0.89076701648993817</v>
      </c>
      <c r="F25" s="13">
        <f>100+IF(G5&gt;=$B$3,$B$18*$B$4,IF(G5&lt;$B$3,0))</f>
        <v>100</v>
      </c>
      <c r="G25" s="39"/>
      <c r="H25" s="13">
        <f>100+IF(G5&gt;=$B$3,$B$19*$B$4,IF(G5&lt;$B$3,0))</f>
        <v>100</v>
      </c>
      <c r="I25" s="39"/>
    </row>
    <row r="26" spans="1:11" ht="17.149999999999999" thickTop="1" thickBot="1" x14ac:dyDescent="0.4">
      <c r="A26" s="33" t="s">
        <v>33</v>
      </c>
      <c r="B26" s="23">
        <f>G22</f>
        <v>102.21166743829812</v>
      </c>
      <c r="C26" s="35">
        <f>D18</f>
        <v>1.480767016489938</v>
      </c>
      <c r="F26" s="13">
        <f>100+IF(G6&gt;=$B$3,$B$18*$B$4,IF(G6&lt;$B$3,0))</f>
        <v>100</v>
      </c>
      <c r="G26" s="40"/>
      <c r="H26" s="13">
        <f>100+IF(G6&gt;=$B$3,$B$19*$B$4,IF(G6&lt;$B$3,0))</f>
        <v>100</v>
      </c>
      <c r="I26" s="40"/>
    </row>
    <row r="27" spans="1:11" ht="16.75" thickTop="1" x14ac:dyDescent="0.35">
      <c r="A27" s="33" t="s">
        <v>34</v>
      </c>
      <c r="B27" s="23">
        <f>I22</f>
        <v>101.76933395063847</v>
      </c>
      <c r="C27" s="36">
        <f>D19</f>
        <v>2.0707670164899379</v>
      </c>
    </row>
    <row r="28" spans="1:11" x14ac:dyDescent="0.35">
      <c r="A28" s="15"/>
      <c r="B28" s="15"/>
    </row>
    <row r="29" spans="1:11" x14ac:dyDescent="0.35">
      <c r="A29" s="15"/>
      <c r="B29" s="15"/>
    </row>
    <row r="30" spans="1:11" x14ac:dyDescent="0.35">
      <c r="A30" s="15"/>
      <c r="B30" s="15"/>
    </row>
    <row r="31" spans="1:11" x14ac:dyDescent="0.35">
      <c r="A31" s="15"/>
      <c r="B31" s="15"/>
    </row>
  </sheetData>
  <mergeCells count="10">
    <mergeCell ref="G22:G26"/>
    <mergeCell ref="I15:I19"/>
    <mergeCell ref="I22:I26"/>
    <mergeCell ref="K15:K19"/>
    <mergeCell ref="F13:G13"/>
    <mergeCell ref="H13:I13"/>
    <mergeCell ref="J13:K13"/>
    <mergeCell ref="F20:G20"/>
    <mergeCell ref="H20:I20"/>
    <mergeCell ref="G15:G19"/>
  </mergeCells>
  <phoneticPr fontId="2" type="noConversion"/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Q1</vt:lpstr>
      <vt:lpstr>Q2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</dc:creator>
  <cp:lastModifiedBy>Yichuan Lin</cp:lastModifiedBy>
  <dcterms:created xsi:type="dcterms:W3CDTF">2015-06-05T18:19:34Z</dcterms:created>
  <dcterms:modified xsi:type="dcterms:W3CDTF">2024-12-11T19:30:19Z</dcterms:modified>
</cp:coreProperties>
</file>